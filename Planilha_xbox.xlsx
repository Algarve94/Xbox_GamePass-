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ucas\OneDrive\Área de Trabalho\Estudos\Computação em Nuvem\"/>
    </mc:Choice>
  </mc:AlternateContent>
  <xr:revisionPtr revIDLastSave="0" documentId="8_{BED7A923-C867-46FF-B731-E77FC3315E93}" xr6:coauthVersionLast="47" xr6:coauthVersionMax="47" xr10:uidLastSave="{00000000-0000-0000-0000-000000000000}"/>
  <bookViews>
    <workbookView xWindow="-108" yWindow="-108" windowWidth="23256" windowHeight="12456" tabRatio="438" firstSheet="2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8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4" i="3"/>
</calcChain>
</file>

<file path=xl/sharedStrings.xml><?xml version="1.0" encoding="utf-8"?>
<sst xmlns="http://schemas.openxmlformats.org/spreadsheetml/2006/main" count="2023" uniqueCount="325">
  <si>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</si>
  <si>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</si>
  <si>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</si>
  <si>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</si>
  <si>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</si>
  <si>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</si>
  <si>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</si>
  <si>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</si>
  <si>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</si>
  <si>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</si>
  <si>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</si>
  <si>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</si>
  <si>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</si>
  <si>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</si>
  <si>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</si>
  <si>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</si>
  <si>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</si>
  <si>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</si>
  <si>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</si>
  <si>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</si>
  <si>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</si>
  <si>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</si>
  <si>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</si>
  <si>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</si>
  <si>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</si>
  <si>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</si>
  <si>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</si>
  <si>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</si>
  <si>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</si>
  <si>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</si>
  <si>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</si>
  <si>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</si>
  <si>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</si>
  <si>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</si>
  <si>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</si>
  <si>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</si>
  <si>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</si>
  <si>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</si>
  <si>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</si>
  <si>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</si>
  <si>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</si>
  <si>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</si>
  <si>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</si>
  <si>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</si>
  <si>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</si>
  <si>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</si>
  <si>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</si>
  <si>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</si>
  <si>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</si>
  <si>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</si>
  <si>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</si>
  <si>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</si>
  <si>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</si>
  <si>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</si>
  <si>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</si>
  <si>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</si>
  <si>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</si>
  <si>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</si>
  <si>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</si>
  <si>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</si>
  <si>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</si>
  <si>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</si>
  <si>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</si>
  <si>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</si>
  <si>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</si>
  <si>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</si>
  <si>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</si>
  <si>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</si>
  <si>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</si>
  <si>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</si>
  <si>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</si>
  <si>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</si>
  <si>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</si>
  <si>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</si>
  <si>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</si>
  <si>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</si>
  <si>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</si>
  <si>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</si>
  <si>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</si>
  <si>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</si>
  <si>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</si>
  <si>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</si>
  <si>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</si>
  <si>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</si>
  <si>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</si>
  <si>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</si>
  <si>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</si>
  <si>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</si>
  <si>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</si>
  <si>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</si>
  <si>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</si>
  <si>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</si>
  <si>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</si>
  <si>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</si>
  <si>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</si>
  <si>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</si>
  <si>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</si>
  <si>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</si>
  <si>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</si>
  <si>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</si>
  <si>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</si>
  <si>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</si>
  <si>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</si>
  <si>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</si>
  <si>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</si>
  <si>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</si>
  <si>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</si>
  <si>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</si>
  <si>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</si>
  <si>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</si>
  <si>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</si>
  <si>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</si>
  <si>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</si>
  <si>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</si>
  <si>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</si>
  <si>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</si>
  <si>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</si>
  <si>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</si>
  <si>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</si>
  <si>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</si>
  <si>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</si>
  <si>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</si>
  <si>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</si>
  <si>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</si>
  <si>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</si>
  <si>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</si>
  <si>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</si>
  <si>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</si>
  <si>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</si>
  <si>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</si>
  <si>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</si>
  <si>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</si>
  <si>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</si>
  <si>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</si>
  <si>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</si>
  <si>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</si>
  <si>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</si>
  <si>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</si>
  <si>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</si>
  <si>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</si>
  <si>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</si>
  <si>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</si>
  <si>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</si>
  <si>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</si>
  <si>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</si>
  <si>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</si>
  <si>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</si>
  <si>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</si>
  <si>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</si>
  <si>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</si>
  <si>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</si>
  <si>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</si>
  <si>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</si>
  <si>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</si>
  <si>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</si>
  <si>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</si>
  <si>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</si>
  <si>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</si>
  <si>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</si>
  <si>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</si>
  <si>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</si>
  <si>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</si>
  <si>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</si>
  <si>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</si>
  <si>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</si>
  <si>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</si>
  <si>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</si>
  <si>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</si>
  <si>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</si>
  <si>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</si>
  <si>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</si>
  <si>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</si>
  <si>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</si>
  <si>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</si>
  <si>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</si>
  <si>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</si>
  <si>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</si>
  <si>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</si>
  <si>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</si>
  <si>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</si>
  <si>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</si>
  <si>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</si>
  <si>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</si>
  <si>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</si>
  <si>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</si>
  <si>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</si>
  <si>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</si>
  <si>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</si>
  <si>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</si>
  <si>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</si>
  <si>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</si>
  <si>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</si>
  <si>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</si>
  <si>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</si>
  <si>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</si>
  <si>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</si>
  <si>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</si>
  <si>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</si>
  <si>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</si>
  <si>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</si>
  <si>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</si>
  <si>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</si>
  <si>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</si>
  <si>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</si>
  <si>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</si>
  <si>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</si>
  <si>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</si>
  <si>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</si>
  <si>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</si>
  <si>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</si>
  <si>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</si>
  <si>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</si>
  <si>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</si>
  <si>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</si>
  <si>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</si>
  <si>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</si>
  <si>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</si>
  <si>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</si>
  <si>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</si>
  <si>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</si>
  <si>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</si>
  <si>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</si>
  <si>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</si>
  <si>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</si>
  <si>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</si>
  <si>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</si>
  <si>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</si>
  <si>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</si>
  <si>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</si>
  <si>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</si>
  <si>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</si>
  <si>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</si>
  <si>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</si>
  <si>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</si>
  <si>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</si>
  <si>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</si>
  <si>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</si>
  <si>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</si>
  <si>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</si>
  <si>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</si>
  <si>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</si>
  <si>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</si>
  <si>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</si>
  <si>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</si>
  <si>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</si>
  <si>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</si>
  <si>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</si>
  <si>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</si>
  <si>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</si>
  <si>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</si>
  <si>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</si>
  <si>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</si>
  <si>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</si>
  <si>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</si>
  <si>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</si>
  <si>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</si>
  <si>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</si>
  <si>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</si>
  <si>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</si>
  <si>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</si>
  <si>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</si>
  <si>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</si>
  <si>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</si>
  <si>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</si>
  <si>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</si>
  <si>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</si>
  <si>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</si>
  <si>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</si>
  <si>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</si>
  <si>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</si>
  <si>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</si>
  <si>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</si>
  <si>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</si>
  <si>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</si>
  <si>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</si>
  <si>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</si>
  <si>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</si>
  <si>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</si>
  <si>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</si>
  <si>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</si>
  <si>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</si>
  <si>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</si>
  <si>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</si>
  <si>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</si>
  <si>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</si>
  <si>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</si>
  <si>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</si>
  <si>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</si>
  <si>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</si>
  <si>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</si>
  <si>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</si>
  <si>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</si>
  <si>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</si>
  <si>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</si>
  <si>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</si>
  <si>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</si>
  <si>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</si>
  <si>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</si>
  <si>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</si>
  <si>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</si>
  <si>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</si>
  <si>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</si>
  <si>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</si>
  <si>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</si>
  <si>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</si>
  <si>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</si>
  <si>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</si>
  <si>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</si>
  <si>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</si>
  <si>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</si>
  <si>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</si>
  <si>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</si>
  <si>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</si>
  <si>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dados específica</t>
  </si>
  <si>
    <r>
      <rPr>
        <sz val="11"/>
        <color rgb="FF000000"/>
        <rFont val="Aptos Narrow"/>
      </rPr>
      <t xml:space="preserve">Pergunta de Negócio1 - Qual o faturamento </t>
    </r>
    <r>
      <rPr>
        <b/>
        <sz val="11"/>
        <color rgb="FF000000"/>
        <rFont val="Aptos Narrow"/>
      </rPr>
      <t>Total de vendas</t>
    </r>
    <r>
      <rPr>
        <sz val="11"/>
        <color rgb="FF000000"/>
        <rFont val="Aptos Narrow"/>
      </rPr>
      <t xml:space="preserve"> de </t>
    </r>
    <r>
      <rPr>
        <b/>
        <sz val="11"/>
        <color rgb="FF000000"/>
        <rFont val="Aptos Narrow"/>
      </rPr>
      <t>planos anuais</t>
    </r>
    <r>
      <rPr>
        <sz val="11"/>
        <color rgb="FF000000"/>
        <rFont val="Aptos Narrow"/>
      </rPr>
      <t xml:space="preserve"> (contendo todas as assinaturas agregadas)</t>
    </r>
  </si>
  <si>
    <r>
      <rPr>
        <sz val="11"/>
        <color rgb="FF000000"/>
        <rFont val="Aptos Narrow"/>
      </rPr>
      <t xml:space="preserve">Pergunta de Negócio2 - Qual o faturamento </t>
    </r>
    <r>
      <rPr>
        <b/>
        <sz val="11"/>
        <color rgb="FF000000"/>
        <rFont val="Aptos Narrow"/>
      </rPr>
      <t>Total de vendas</t>
    </r>
    <r>
      <rPr>
        <sz val="11"/>
        <color rgb="FF000000"/>
        <rFont val="Aptos Narrow"/>
      </rPr>
      <t xml:space="preserve"> de </t>
    </r>
    <r>
      <rPr>
        <b/>
        <sz val="11"/>
        <color rgb="FF000000"/>
        <rFont val="Aptos Narrow"/>
      </rPr>
      <t>planos anuais</t>
    </r>
    <r>
      <rPr>
        <sz val="11"/>
        <color rgb="FF000000"/>
        <rFont val="Aptos Narrow"/>
      </rPr>
      <t>, separado por auto renovação não é por auto renovação</t>
    </r>
  </si>
  <si>
    <t>Soma de Total Value</t>
  </si>
  <si>
    <t>Total Geral</t>
  </si>
  <si>
    <t>Pergunta de negócio3 - Total de Vendas de Assinaturas do EA Play</t>
  </si>
  <si>
    <t>Rótulos de Linha</t>
  </si>
  <si>
    <t>Soma de EA Play Season PassPrice</t>
  </si>
  <si>
    <t>Pergunta Negócio4 - Total de Vendas de Assinaturas do Minecraft Season Pass</t>
  </si>
  <si>
    <t>Soma de Minecraft Season Pass Price</t>
  </si>
  <si>
    <t xml:space="preserve">       XBOX GAME PASS SUBSCRIPTIONS SALES</t>
  </si>
  <si>
    <r>
      <t xml:space="preserve">     </t>
    </r>
    <r>
      <rPr>
        <sz val="11"/>
        <color theme="0" tint="-0.499984740745262"/>
        <rFont val="Aptos Narrow"/>
        <family val="2"/>
        <scheme val="minor"/>
      </rPr>
      <t xml:space="preserve"> Calculation period: 01/01/2024 - 31/12/2024 | Update date: 21/05/2026 19:38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</si>
</sst>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5" formatCode="&quot;R$&quot;\ #,##0.00"/>
    <numFmt numFmtId="166" formatCode="_-[$R$-416]\ * #,##0.00_-;\-[$R$-416]\ * #,##0.00_-;_-[$R$-416]\ * &quot;-&quot;??_-;_-@_-"/>
  </numFmts>
  <fonts count="10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242424"/>
      <name val="Aptos Narrow"/>
      <charset val="1"/>
    </font>
    <font>
      <b/>
      <sz val="15"/>
      <color theme="6" tint="0.39997558519241921"/>
      <name val="Segoe UI"/>
    </font>
    <font>
      <b/>
      <sz val="15"/>
      <color rgb="FF22C55E"/>
      <name val="Segoe UI"/>
      <family val="2"/>
    </font>
    <font>
      <sz val="11"/>
      <color theme="0" tint="-0.49998474074526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0" fillId="0" borderId="0" xfId="0" pivotButton="1"/>
    <xf numFmtId="44" fontId="0" fillId="0" borderId="0" xfId="0" applyNumberFormat="1"/>
    <xf numFmtId="0" fontId="0" fillId="8" borderId="0" xfId="0" applyFill="1" applyAlignment="1">
      <alignment wrapText="1"/>
    </xf>
    <xf numFmtId="0" fontId="0" fillId="9" borderId="0" xfId="0" applyFill="1"/>
    <xf numFmtId="0" fontId="6" fillId="4" borderId="0" xfId="0" applyFont="1" applyFill="1"/>
    <xf numFmtId="0" fontId="0" fillId="0" borderId="0" xfId="0" applyAlignment="1">
      <alignment wrapText="1"/>
    </xf>
    <xf numFmtId="0" fontId="0" fillId="0" borderId="0" xfId="0" applyNumberFormat="1"/>
    <xf numFmtId="0" fontId="7" fillId="9" borderId="0" xfId="1" applyFont="1" applyFill="1" applyBorder="1"/>
    <xf numFmtId="0" fontId="0" fillId="7" borderId="0" xfId="0" applyFill="1" applyBorder="1"/>
    <xf numFmtId="0" fontId="7" fillId="7" borderId="0" xfId="1" applyFont="1" applyFill="1" applyBorder="1" applyAlignment="1">
      <alignment horizontal="left" vertical="top" wrapText="1"/>
    </xf>
    <xf numFmtId="0" fontId="8" fillId="9" borderId="2" xfId="1" applyFont="1" applyFill="1" applyBorder="1"/>
    <xf numFmtId="165" fontId="0" fillId="0" borderId="0" xfId="0" applyNumberFormat="1"/>
    <xf numFmtId="166" fontId="0" fillId="0" borderId="0" xfId="2" applyNumberFormat="1" applyFont="1"/>
  </cellXfs>
  <cellStyles count="3">
    <cellStyle name="Moeda" xfId="2" builtinId="4"/>
    <cellStyle name="Normal" xfId="0" builtinId="0"/>
    <cellStyle name="Título 1" xfId="1" builtinId="16"/>
  </cellStyles>
  <dxfs count="18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</dxf>
    <dxf>
      <font>
        <color theme="0"/>
      </font>
      <fill>
        <patternFill>
          <bgColor rgb="FF22C55E"/>
        </patternFill>
      </fill>
      <border diagonalUp="0">
        <top/>
        <bottom/>
        <vertical style="thin">
          <color auto="1"/>
        </vertical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2" defaultTableStyle="TableStyleMedium2" defaultPivotStyle="PivotStyleLight16">
    <tableStyle name="Estilo de Segmentação de Dados 1" pivot="0" table="0" count="6" xr9:uid="{E1F7F3ED-A5A5-4217-BA82-E4BD567312B1}">
      <tableStyleElement type="wholeTable" dxfId="3"/>
      <tableStyleElement type="headerRow" dxfId="2"/>
    </tableStyle>
    <tableStyle name="SlicerStyleLight6 2" pivot="0" table="0" count="10" xr9:uid="{1D37C77A-A2F6-4906-9BFC-20A0F27DEC3A}">
      <tableStyleElement type="wholeTable" dxfId="1"/>
      <tableStyleElement type="headerRow" dxfId="0"/>
    </tableStyle>
  </tableStyles>
  <colors>
    <mruColors>
      <color rgb="FF22C55E"/>
      <color rgb="FF2AE6B1"/>
      <color rgb="FFE8E6E9"/>
      <color rgb="FFA6C9EC"/>
      <color rgb="FF5BF6A8"/>
      <color rgb="FFA6EDE2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1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/>
        <dxf/>
        <dxf>
          <font>
            <color theme="1"/>
          </font>
        </dxf>
        <dxf>
          <font>
            <color auto="1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1"/>
            <x14:slicerStyleElement type="selectedItemWithNoData" dxfId="10"/>
            <x14:slicerStyleElement type="hoveredSelectedItemWithData" dxfId="9"/>
            <x14:slicerStyleElement type="hoveredSelectedItemWithNoData" dxfId="8"/>
          </x14:slicerStyleElements>
        </x14:slicerStyle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[Planilha_xbox.xlsx]C̳álculos!tbl_annual_total</c:name>
    <c:fmtId val="8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3875913490833874E-2"/>
          <c:y val="0.10906969962088073"/>
          <c:w val="0.68236329833770781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C-444A-B215-219B6A674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5821296"/>
        <c:axId val="585825616"/>
      </c:barChart>
      <c:catAx>
        <c:axId val="585821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5825616"/>
        <c:crosses val="autoZero"/>
        <c:auto val="1"/>
        <c:lblAlgn val="ctr"/>
        <c:lblOffset val="100"/>
        <c:noMultiLvlLbl val="0"/>
      </c:catAx>
      <c:valAx>
        <c:axId val="58582561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5858212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5</xdr:row>
      <xdr:rowOff>304800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5</xdr:row>
      <xdr:rowOff>304800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1771650</xdr:colOff>
      <xdr:row>0</xdr:row>
      <xdr:rowOff>0</xdr:rowOff>
    </xdr:from>
    <xdr:to>
      <xdr:col>2</xdr:col>
      <xdr:colOff>390525</xdr:colOff>
      <xdr:row>2</xdr:row>
      <xdr:rowOff>152400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47C574-D39A-46F8-B461-955DAFB9ABBC}"/>
            </a:ext>
            <a:ext uri="{147F2762-F138-4A5C-976F-8EAC2B608ADB}">
              <a16:predDERef xmlns:a16="http://schemas.microsoft.com/office/drawing/2014/main" pred="{969F9566-7FA2-4685-88D4-56A5E129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75" t="17200" r="72871" b="17200"/>
        <a:stretch>
          <a:fillRect/>
        </a:stretch>
      </xdr:blipFill>
      <xdr:spPr>
        <a:xfrm>
          <a:off x="1771650" y="0"/>
          <a:ext cx="571500" cy="666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55245</xdr:rowOff>
    </xdr:from>
    <xdr:to>
      <xdr:col>0</xdr:col>
      <xdr:colOff>1819274</xdr:colOff>
      <xdr:row>16</xdr:row>
      <xdr:rowOff>80009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Subscription Type">
              <a:extLst>
                <a:ext uri="{FF2B5EF4-FFF2-40B4-BE49-F238E27FC236}">
                  <a16:creationId xmlns:a16="http://schemas.microsoft.com/office/drawing/2014/main" id="{A081CAD8-8B9F-41B7-A4A1-4A2340031D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36345"/>
              <a:ext cx="1819274" cy="26060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171450</xdr:colOff>
      <xdr:row>4</xdr:row>
      <xdr:rowOff>123825</xdr:rowOff>
    </xdr:from>
    <xdr:to>
      <xdr:col>9</xdr:col>
      <xdr:colOff>104775</xdr:colOff>
      <xdr:row>9</xdr:row>
      <xdr:rowOff>57150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255E51DF-B0F3-2A67-2042-5B906DE0F918}"/>
            </a:ext>
          </a:extLst>
        </xdr:cNvPr>
        <xdr:cNvGrpSpPr/>
      </xdr:nvGrpSpPr>
      <xdr:grpSpPr>
        <a:xfrm>
          <a:off x="2124075" y="1057275"/>
          <a:ext cx="4200525" cy="1495425"/>
          <a:chOff x="2124075" y="1171575"/>
          <a:chExt cx="3809999" cy="1495425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C926D36C-5B63-552A-EFB8-62878C64ED08}"/>
              </a:ext>
            </a:extLst>
          </xdr:cNvPr>
          <xdr:cNvSpPr/>
        </xdr:nvSpPr>
        <xdr:spPr>
          <a:xfrm>
            <a:off x="2124075" y="1190625"/>
            <a:ext cx="3800475" cy="14478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18" name="Agrupar 17">
            <a:extLst>
              <a:ext uri="{FF2B5EF4-FFF2-40B4-BE49-F238E27FC236}">
                <a16:creationId xmlns:a16="http://schemas.microsoft.com/office/drawing/2014/main" id="{DC250F27-3F43-A769-4A25-8B77B2138A7B}"/>
              </a:ext>
            </a:extLst>
          </xdr:cNvPr>
          <xdr:cNvGrpSpPr/>
        </xdr:nvGrpSpPr>
        <xdr:grpSpPr>
          <a:xfrm>
            <a:off x="2124075" y="1171575"/>
            <a:ext cx="3809999" cy="1495425"/>
            <a:chOff x="2124075" y="1171575"/>
            <a:chExt cx="3809999" cy="1495425"/>
          </a:xfrm>
        </xdr:grpSpPr>
        <xdr:sp macro="" textlink="C̳álculos!E24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CD28C0D3-6904-419A-922D-7238717DF669}"/>
                </a:ext>
              </a:extLst>
            </xdr:cNvPr>
            <xdr:cNvSpPr/>
          </xdr:nvSpPr>
          <xdr:spPr>
            <a:xfrm>
              <a:off x="3457575" y="1438275"/>
              <a:ext cx="2324100" cy="1228725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9D5BD14-02F0-4305-B5CF-FF95A9478BE6}" type="TxLink">
                <a:rPr lang="en-US" sz="32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R$ 1.350,00 </a:t>
              </a:fld>
              <a:endParaRPr lang="pt-BR" sz="2000">
                <a:solidFill>
                  <a:srgbClr val="22C55E"/>
                </a:solidFill>
              </a:endParaRPr>
            </a:p>
          </xdr:txBody>
        </xdr:sp>
        <xdr:pic>
          <xdr:nvPicPr>
            <xdr:cNvPr id="16" name="Imagem 15">
              <a:extLst>
                <a:ext uri="{FF2B5EF4-FFF2-40B4-BE49-F238E27FC236}">
                  <a16:creationId xmlns:a16="http://schemas.microsoft.com/office/drawing/2014/main" id="{150ACB90-3890-44B5-BCD2-AD1E40CCE82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314575" y="1469707"/>
              <a:ext cx="1219200" cy="1165860"/>
            </a:xfrm>
            <a:prstGeom prst="rect">
              <a:avLst/>
            </a:prstGeom>
          </xdr:spPr>
        </xdr:pic>
        <xdr:sp macro="" textlink="">
          <xdr:nvSpPr>
            <xdr:cNvPr id="17" name="Retângulo: Cantos Superiores Arredondados 16">
              <a:extLst>
                <a:ext uri="{FF2B5EF4-FFF2-40B4-BE49-F238E27FC236}">
                  <a16:creationId xmlns:a16="http://schemas.microsoft.com/office/drawing/2014/main" id="{95FE7601-6CA7-7277-7B3D-A57D0E89DC78}"/>
                </a:ext>
              </a:extLst>
            </xdr:cNvPr>
            <xdr:cNvSpPr/>
          </xdr:nvSpPr>
          <xdr:spPr>
            <a:xfrm>
              <a:off x="2124075" y="1171575"/>
              <a:ext cx="3809999" cy="371475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/>
                <a:t>TOTAL</a:t>
              </a:r>
              <a:r>
                <a:rPr lang="pt-BR" sz="1100" b="1" baseline="0"/>
                <a:t> SUBSCRIPTIONS EA PLAY SEASON PASS</a:t>
              </a:r>
              <a:endParaRPr lang="pt-BR" sz="1100" b="1"/>
            </a:p>
          </xdr:txBody>
        </xdr:sp>
      </xdr:grpSp>
    </xdr:grpSp>
    <xdr:clientData/>
  </xdr:twoCellAnchor>
  <xdr:twoCellAnchor>
    <xdr:from>
      <xdr:col>9</xdr:col>
      <xdr:colOff>333376</xdr:colOff>
      <xdr:row>4</xdr:row>
      <xdr:rowOff>142875</xdr:rowOff>
    </xdr:from>
    <xdr:to>
      <xdr:col>16</xdr:col>
      <xdr:colOff>581025</xdr:colOff>
      <xdr:row>9</xdr:row>
      <xdr:rowOff>47625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35C28037-7C94-7DBD-B0F7-D8150F8F1231}"/>
            </a:ext>
          </a:extLst>
        </xdr:cNvPr>
        <xdr:cNvGrpSpPr/>
      </xdr:nvGrpSpPr>
      <xdr:grpSpPr>
        <a:xfrm>
          <a:off x="6553201" y="1076325"/>
          <a:ext cx="4352924" cy="1466850"/>
          <a:chOff x="6715126" y="1238250"/>
          <a:chExt cx="4352924" cy="1466850"/>
        </a:xfrm>
      </xdr:grpSpPr>
      <xdr:grpSp>
        <xdr:nvGrpSpPr>
          <xdr:cNvPr id="35" name="Agrupar 34">
            <a:extLst>
              <a:ext uri="{FF2B5EF4-FFF2-40B4-BE49-F238E27FC236}">
                <a16:creationId xmlns:a16="http://schemas.microsoft.com/office/drawing/2014/main" id="{A0FD518A-C833-4851-996A-8B29F26CC0E6}"/>
              </a:ext>
            </a:extLst>
          </xdr:cNvPr>
          <xdr:cNvGrpSpPr/>
        </xdr:nvGrpSpPr>
        <xdr:grpSpPr>
          <a:xfrm>
            <a:off x="6715126" y="1238250"/>
            <a:ext cx="4352924" cy="1466850"/>
            <a:chOff x="2124075" y="1171575"/>
            <a:chExt cx="3809999" cy="1466850"/>
          </a:xfrm>
        </xdr:grpSpPr>
        <xdr:sp macro="" textlink="">
          <xdr:nvSpPr>
            <xdr:cNvPr id="36" name="Retângulo: Cantos Arredondados 35">
              <a:extLst>
                <a:ext uri="{FF2B5EF4-FFF2-40B4-BE49-F238E27FC236}">
                  <a16:creationId xmlns:a16="http://schemas.microsoft.com/office/drawing/2014/main" id="{6673E0A6-A1B4-314A-9BBD-73E4E53F8FD5}"/>
                </a:ext>
              </a:extLst>
            </xdr:cNvPr>
            <xdr:cNvSpPr/>
          </xdr:nvSpPr>
          <xdr:spPr>
            <a:xfrm>
              <a:off x="2124075" y="1190625"/>
              <a:ext cx="3800475" cy="144780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pSp>
          <xdr:nvGrpSpPr>
            <xdr:cNvPr id="37" name="Agrupar 36">
              <a:extLst>
                <a:ext uri="{FF2B5EF4-FFF2-40B4-BE49-F238E27FC236}">
                  <a16:creationId xmlns:a16="http://schemas.microsoft.com/office/drawing/2014/main" id="{2D07E4B4-10C5-A491-4251-60930C9E130A}"/>
                </a:ext>
              </a:extLst>
            </xdr:cNvPr>
            <xdr:cNvGrpSpPr/>
          </xdr:nvGrpSpPr>
          <xdr:grpSpPr>
            <a:xfrm>
              <a:off x="2124075" y="1171575"/>
              <a:ext cx="3809999" cy="1466850"/>
              <a:chOff x="2124075" y="1171575"/>
              <a:chExt cx="3809999" cy="1466850"/>
            </a:xfrm>
          </xdr:grpSpPr>
          <xdr:sp macro="" textlink="C̳álculos!E36">
            <xdr:nvSpPr>
              <xdr:cNvPr id="38" name="Retângulo: Cantos Arredondados 37">
                <a:extLst>
                  <a:ext uri="{FF2B5EF4-FFF2-40B4-BE49-F238E27FC236}">
                    <a16:creationId xmlns:a16="http://schemas.microsoft.com/office/drawing/2014/main" id="{FDE584DB-EC72-2446-446D-3A1530B09727}"/>
                  </a:ext>
                </a:extLst>
              </xdr:cNvPr>
              <xdr:cNvSpPr/>
            </xdr:nvSpPr>
            <xdr:spPr>
              <a:xfrm>
                <a:off x="3574293" y="1409700"/>
                <a:ext cx="2324100" cy="1228725"/>
              </a:xfrm>
              <a:prstGeom prst="round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9395BB55-3C9C-4AD0-836E-FB39EAFE0FA7}" type="TxLink">
                  <a:rPr lang="en-US" sz="3200" b="0" i="0" u="none" strike="noStrike">
                    <a:solidFill>
                      <a:srgbClr val="22C55E"/>
                    </a:solidFill>
                    <a:latin typeface="+mn-lt"/>
                  </a:rPr>
                  <a:pPr algn="ctr"/>
                  <a:t>R$ 1.800,00</a:t>
                </a:fld>
                <a:endParaRPr lang="pt-BR" sz="3200">
                  <a:solidFill>
                    <a:srgbClr val="22C55E"/>
                  </a:solidFill>
                  <a:latin typeface="+mn-lt"/>
                </a:endParaRPr>
              </a:p>
            </xdr:txBody>
          </xdr:sp>
          <xdr:sp macro="" textlink="">
            <xdr:nvSpPr>
              <xdr:cNvPr id="40" name="Retângulo: Cantos Superiores Arredondados 39">
                <a:extLst>
                  <a:ext uri="{FF2B5EF4-FFF2-40B4-BE49-F238E27FC236}">
                    <a16:creationId xmlns:a16="http://schemas.microsoft.com/office/drawing/2014/main" id="{FC5C64FB-513D-82A4-95CF-AF890117A179}"/>
                  </a:ext>
                </a:extLst>
              </xdr:cNvPr>
              <xdr:cNvSpPr/>
            </xdr:nvSpPr>
            <xdr:spPr>
              <a:xfrm>
                <a:off x="2124075" y="1171575"/>
                <a:ext cx="3809999" cy="371475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100" b="1"/>
                  <a:t>TOTAL</a:t>
                </a:r>
                <a:r>
                  <a:rPr lang="pt-BR" sz="1100" b="1" baseline="0"/>
                  <a:t> SUBSCRIPTIONS MINECRAFT SEASON PASS</a:t>
                </a:r>
                <a:endParaRPr lang="pt-BR" sz="1100" b="1"/>
              </a:p>
            </xdr:txBody>
          </xdr:sp>
        </xdr:grpSp>
      </xdr:grpSp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5065B380-A8CF-4A20-89F9-D09153CD497E}"/>
              </a:ext>
            </a:extLst>
          </xdr:cNvPr>
          <xdr:cNvGrpSpPr/>
        </xdr:nvGrpSpPr>
        <xdr:grpSpPr>
          <a:xfrm>
            <a:off x="7077075" y="1647825"/>
            <a:ext cx="1333500" cy="676275"/>
            <a:chOff x="3495675" y="5400674"/>
            <a:chExt cx="1549476" cy="752476"/>
          </a:xfrm>
        </xdr:grpSpPr>
        <xdr:pic>
          <xdr:nvPicPr>
            <xdr:cNvPr id="43" name="Imagem 42">
              <a:extLst>
                <a:ext uri="{FF2B5EF4-FFF2-40B4-BE49-F238E27FC236}">
                  <a16:creationId xmlns:a16="http://schemas.microsoft.com/office/drawing/2014/main" id="{0ADA1FA4-BBD8-6E43-8DA3-0C65355F82C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44" name="Gráfico 43">
              <a:extLst>
                <a:ext uri="{FF2B5EF4-FFF2-40B4-BE49-F238E27FC236}">
                  <a16:creationId xmlns:a16="http://schemas.microsoft.com/office/drawing/2014/main" id="{7BFF965C-98F5-0336-747A-71FEC528405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200025</xdr:colOff>
      <xdr:row>12</xdr:row>
      <xdr:rowOff>85724</xdr:rowOff>
    </xdr:from>
    <xdr:to>
      <xdr:col>17</xdr:col>
      <xdr:colOff>104775</xdr:colOff>
      <xdr:row>29</xdr:row>
      <xdr:rowOff>123825</xdr:rowOff>
    </xdr:to>
    <xdr:grpSp>
      <xdr:nvGrpSpPr>
        <xdr:cNvPr id="48" name="Agrupar 47">
          <a:extLst>
            <a:ext uri="{FF2B5EF4-FFF2-40B4-BE49-F238E27FC236}">
              <a16:creationId xmlns:a16="http://schemas.microsoft.com/office/drawing/2014/main" id="{0FB855D0-A7D3-793A-8196-47CED5AFF521}"/>
            </a:ext>
          </a:extLst>
        </xdr:cNvPr>
        <xdr:cNvGrpSpPr/>
      </xdr:nvGrpSpPr>
      <xdr:grpSpPr>
        <a:xfrm>
          <a:off x="2152650" y="3124199"/>
          <a:ext cx="8886825" cy="3114676"/>
          <a:chOff x="2133600" y="3314699"/>
          <a:chExt cx="8658227" cy="3114676"/>
        </a:xfrm>
      </xdr:grpSpPr>
      <xdr:grpSp>
        <xdr:nvGrpSpPr>
          <xdr:cNvPr id="47" name="Agrupar 46">
            <a:extLst>
              <a:ext uri="{FF2B5EF4-FFF2-40B4-BE49-F238E27FC236}">
                <a16:creationId xmlns:a16="http://schemas.microsoft.com/office/drawing/2014/main" id="{3D369281-E68B-1360-923F-4F35C8CC355D}"/>
              </a:ext>
            </a:extLst>
          </xdr:cNvPr>
          <xdr:cNvGrpSpPr/>
        </xdr:nvGrpSpPr>
        <xdr:grpSpPr>
          <a:xfrm>
            <a:off x="2133601" y="3314700"/>
            <a:ext cx="8658226" cy="3114675"/>
            <a:chOff x="2133601" y="3095625"/>
            <a:chExt cx="8658226" cy="3114675"/>
          </a:xfrm>
        </xdr:grpSpPr>
        <xdr:sp macro="" textlink="">
          <xdr:nvSpPr>
            <xdr:cNvPr id="12" name="Retângulo: Cantos Arredondados 11">
              <a:extLst>
                <a:ext uri="{FF2B5EF4-FFF2-40B4-BE49-F238E27FC236}">
                  <a16:creationId xmlns:a16="http://schemas.microsoft.com/office/drawing/2014/main" id="{AE4C6C36-CC39-9D63-919B-3C7802EBC1D9}"/>
                </a:ext>
              </a:extLst>
            </xdr:cNvPr>
            <xdr:cNvSpPr/>
          </xdr:nvSpPr>
          <xdr:spPr>
            <a:xfrm>
              <a:off x="2133601" y="3095625"/>
              <a:ext cx="8466007" cy="2819400"/>
            </a:xfrm>
            <a:prstGeom prst="roundRect">
              <a:avLst>
                <a:gd name="adj" fmla="val 914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19C35C03-48CA-4F53-9441-B0548A8D14B1}"/>
                </a:ext>
              </a:extLst>
            </xdr:cNvPr>
            <xdr:cNvGraphicFramePr>
              <a:graphicFrameLocks/>
            </xdr:cNvGraphicFramePr>
          </xdr:nvGraphicFramePr>
          <xdr:xfrm>
            <a:off x="2238375" y="3467100"/>
            <a:ext cx="8553452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46" name="Retângulo: Cantos Superiores Arredondados 45">
            <a:extLst>
              <a:ext uri="{FF2B5EF4-FFF2-40B4-BE49-F238E27FC236}">
                <a16:creationId xmlns:a16="http://schemas.microsoft.com/office/drawing/2014/main" id="{66AEA86C-A505-4621-8DEB-D9A87322ED7B}"/>
              </a:ext>
            </a:extLst>
          </xdr:cNvPr>
          <xdr:cNvSpPr/>
        </xdr:nvSpPr>
        <xdr:spPr>
          <a:xfrm>
            <a:off x="2133600" y="3314699"/>
            <a:ext cx="8467725" cy="4095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SUBSCRIPTIONS XOBOX GAME PASS</a:t>
            </a:r>
            <a:endParaRPr lang="pt-BR" sz="1100" b="1"/>
          </a:p>
        </xdr:txBody>
      </xdr:sp>
    </xdr:grpSp>
    <xdr:clientData/>
  </xdr:twoCellAnchor>
  <xdr:twoCellAnchor>
    <xdr:from>
      <xdr:col>0</xdr:col>
      <xdr:colOff>571500</xdr:colOff>
      <xdr:row>0</xdr:row>
      <xdr:rowOff>114300</xdr:rowOff>
    </xdr:from>
    <xdr:to>
      <xdr:col>0</xdr:col>
      <xdr:colOff>1266825</xdr:colOff>
      <xdr:row>2</xdr:row>
      <xdr:rowOff>262890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8267B959-3913-4642-BEB2-CADCD49A7DBE}"/>
            </a:ext>
          </a:extLst>
        </xdr:cNvPr>
        <xdr:cNvSpPr/>
      </xdr:nvSpPr>
      <xdr:spPr>
        <a:xfrm>
          <a:off x="571500" y="11430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161924</xdr:colOff>
      <xdr:row>3</xdr:row>
      <xdr:rowOff>19050</xdr:rowOff>
    </xdr:from>
    <xdr:to>
      <xdr:col>0</xdr:col>
      <xdr:colOff>1638299</xdr:colOff>
      <xdr:row>4</xdr:row>
      <xdr:rowOff>66675</xdr:rowOff>
    </xdr:to>
    <xdr:sp macro="" textlink="">
      <xdr:nvSpPr>
        <xdr:cNvPr id="50" name="Retângulo: Cantos Superiores Arredondados 49">
          <a:extLst>
            <a:ext uri="{FF2B5EF4-FFF2-40B4-BE49-F238E27FC236}">
              <a16:creationId xmlns:a16="http://schemas.microsoft.com/office/drawing/2014/main" id="{835070CB-AACD-9461-3646-CC791F55EB07}"/>
            </a:ext>
          </a:extLst>
        </xdr:cNvPr>
        <xdr:cNvSpPr/>
      </xdr:nvSpPr>
      <xdr:spPr>
        <a:xfrm>
          <a:off x="161924" y="895350"/>
          <a:ext cx="1476375" cy="21907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&gt;</a:t>
          </a:r>
          <a:r>
            <a:rPr lang="pt-BR" sz="1100" baseline="0"/>
            <a:t> </a:t>
          </a:r>
          <a:r>
            <a:rPr lang="pt-BR" sz="1100" b="1" baseline="0"/>
            <a:t>Bem vinda, Liana</a:t>
          </a:r>
          <a:endParaRPr lang="pt-BR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Algarve" refreshedDate="46163.762164467589" createdVersion="8" refreshedVersion="8" minRefreshableVersion="3" recordCount="295" xr:uid="{BAF61659-C550-4369-920E-8D55384CFB8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926932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F6E27-B732-4C66-AB07-FD535A9457AB}" name="Tabela dinâmica4" cacheId="8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5">
  <location ref="B32:C36" firstHeaderRow="1" firstDataRow="1" firstDataCol="1" rowPageCount="1" colPageCount="1"/>
  <pivotFields count="13">
    <pivotField compact="0" outline="0" showAll="0"/>
    <pivotField compact="0" outline="0" showAll="0"/>
    <pivotField name="Rótulos de Linha"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C84D9-0753-4F22-A9CC-F397D66FCD9B}" name="tbl_annual_total" cacheId="8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11">
  <location ref="B11:C14" firstHeaderRow="1" firstDataRow="1" firstDataCol="1" rowPageCount="1" colPageCount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5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B2446-A5AF-4B47-8295-BEC7F59C1A3B}" name="tbl_eaplayseasonpass_Total" cacheId="8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 chartFormat="5">
  <location ref="B20:C24" firstHeaderRow="1" firstDataRow="1" firstDataCol="1" rowPageCount="1" colPageCount="1"/>
  <pivotFields count="13">
    <pivotField compact="0" outline="0" showAll="0"/>
    <pivotField compact="0" outline="0" showAll="0"/>
    <pivotField name="Rótulos de Linha"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compact="0" outline="0" showAll="0"/>
    <pivotField dataField="1"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0F90A99-1767-4A4F-9361-3C0481C67517}" sourceName="Subscription Type">
  <pivotTables>
    <pivotTable tabId="3" name="tbl_annual_total"/>
    <pivotTable tabId="3" name="tbl_eaplayseasonpass_Total"/>
    <pivotTable tabId="3" name="Tabela dinâmica4"/>
  </pivotTables>
  <data>
    <tabular pivotCacheId="692693278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25A8DCB-959D-473F-9ABC-2BC626448822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F2" zoomScaleNormal="100" workbookViewId="0">
      <selection activeCell="E25" sqref="E2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1</v>
      </c>
      <c r="C5" t="s">
        <v>2</v>
      </c>
      <c r="E5" s="7" t="s">
        <v>3</v>
      </c>
      <c r="F5" t="s">
        <v>4</v>
      </c>
    </row>
    <row r="6" spans="2:16" x14ac:dyDescent="0.3">
      <c r="B6" s="4" t="s">
        <v>5</v>
      </c>
      <c r="C6" t="s">
        <v>2</v>
      </c>
    </row>
    <row r="7" spans="2:16" x14ac:dyDescent="0.3">
      <c r="B7" s="5" t="s">
        <v>6</v>
      </c>
      <c r="C7" t="s">
        <v>7</v>
      </c>
    </row>
    <row r="8" spans="2:16" x14ac:dyDescent="0.3">
      <c r="B8" s="6" t="s">
        <v>8</v>
      </c>
      <c r="C8" t="s">
        <v>7</v>
      </c>
    </row>
    <row r="12" spans="2:16" ht="20.399999999999999" thickBot="1" x14ac:dyDescent="0.4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25" sqref="E25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3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6"/>
  <sheetViews>
    <sheetView showGridLines="0" topLeftCell="B17" workbookViewId="0">
      <selection activeCell="E25" sqref="E25"/>
    </sheetView>
  </sheetViews>
  <sheetFormatPr defaultRowHeight="14.4" x14ac:dyDescent="0.3"/>
  <cols>
    <col min="2" max="2" width="32.33203125" customWidth="1"/>
    <col min="3" max="3" width="29.6640625" customWidth="1"/>
    <col min="4" max="4" width="22.88671875" customWidth="1"/>
    <col min="5" max="5" width="16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3" ht="43.2" x14ac:dyDescent="0.3">
      <c r="B3" s="15" t="s">
        <v>313</v>
      </c>
    </row>
    <row r="6" spans="2:3" ht="43.2" x14ac:dyDescent="0.3">
      <c r="B6" s="12" t="s">
        <v>314</v>
      </c>
    </row>
    <row r="7" spans="2:3" ht="43.2" x14ac:dyDescent="0.3">
      <c r="B7" s="12" t="s">
        <v>315</v>
      </c>
    </row>
    <row r="8" spans="2:3" x14ac:dyDescent="0.3">
      <c r="B8" s="12"/>
    </row>
    <row r="9" spans="2:3" x14ac:dyDescent="0.3">
      <c r="B9" s="13" t="s">
        <v>17</v>
      </c>
      <c r="C9" t="s">
        <v>27</v>
      </c>
    </row>
    <row r="11" spans="2:3" x14ac:dyDescent="0.3">
      <c r="B11" s="13" t="s">
        <v>15</v>
      </c>
      <c r="C11" t="s">
        <v>316</v>
      </c>
    </row>
    <row r="12" spans="2:3" x14ac:dyDescent="0.3">
      <c r="B12" t="s">
        <v>30</v>
      </c>
      <c r="C12" s="14">
        <v>2824</v>
      </c>
    </row>
    <row r="13" spans="2:3" x14ac:dyDescent="0.3">
      <c r="B13" t="s">
        <v>26</v>
      </c>
      <c r="C13" s="14">
        <v>747</v>
      </c>
    </row>
    <row r="14" spans="2:3" x14ac:dyDescent="0.3">
      <c r="B14" t="s">
        <v>317</v>
      </c>
      <c r="C14" s="14">
        <v>3571</v>
      </c>
    </row>
    <row r="16" spans="2:3" ht="28.8" x14ac:dyDescent="0.3">
      <c r="B16" s="18" t="s">
        <v>318</v>
      </c>
    </row>
    <row r="18" spans="2:5" x14ac:dyDescent="0.3">
      <c r="B18" s="13" t="s">
        <v>17</v>
      </c>
      <c r="C18" t="s">
        <v>27</v>
      </c>
    </row>
    <row r="20" spans="2:5" x14ac:dyDescent="0.3">
      <c r="B20" s="13" t="s">
        <v>319</v>
      </c>
      <c r="C20" t="s">
        <v>320</v>
      </c>
    </row>
    <row r="21" spans="2:5" x14ac:dyDescent="0.3">
      <c r="B21" t="s">
        <v>29</v>
      </c>
      <c r="C21" s="19">
        <v>0</v>
      </c>
    </row>
    <row r="22" spans="2:5" x14ac:dyDescent="0.3">
      <c r="B22" t="s">
        <v>34</v>
      </c>
      <c r="C22" s="19">
        <v>0</v>
      </c>
    </row>
    <row r="23" spans="2:5" x14ac:dyDescent="0.3">
      <c r="B23" t="s">
        <v>25</v>
      </c>
      <c r="C23" s="19">
        <v>1350</v>
      </c>
    </row>
    <row r="24" spans="2:5" x14ac:dyDescent="0.3">
      <c r="B24" t="s">
        <v>317</v>
      </c>
      <c r="C24" s="19">
        <v>1350</v>
      </c>
      <c r="E24" s="25">
        <f>GETPIVOTDATA("EA Play Season Pass
Price",$B$20)</f>
        <v>1350</v>
      </c>
    </row>
    <row r="28" spans="2:5" ht="28.8" x14ac:dyDescent="0.3">
      <c r="B28" s="18" t="s">
        <v>321</v>
      </c>
    </row>
    <row r="30" spans="2:5" x14ac:dyDescent="0.3">
      <c r="B30" s="13" t="s">
        <v>17</v>
      </c>
      <c r="C30" t="s">
        <v>27</v>
      </c>
    </row>
    <row r="32" spans="2:5" x14ac:dyDescent="0.3">
      <c r="B32" s="13" t="s">
        <v>319</v>
      </c>
      <c r="C32" t="s">
        <v>322</v>
      </c>
    </row>
    <row r="33" spans="2:5" x14ac:dyDescent="0.3">
      <c r="B33" t="s">
        <v>29</v>
      </c>
      <c r="C33" s="19">
        <v>0</v>
      </c>
    </row>
    <row r="34" spans="2:5" x14ac:dyDescent="0.3">
      <c r="B34" t="s">
        <v>34</v>
      </c>
      <c r="C34" s="19">
        <v>900</v>
      </c>
    </row>
    <row r="35" spans="2:5" x14ac:dyDescent="0.3">
      <c r="B35" t="s">
        <v>25</v>
      </c>
      <c r="C35" s="19">
        <v>900</v>
      </c>
    </row>
    <row r="36" spans="2:5" x14ac:dyDescent="0.3">
      <c r="B36" t="s">
        <v>317</v>
      </c>
      <c r="C36" s="19">
        <v>1800</v>
      </c>
      <c r="E36" s="24">
        <f>GETPIVOTDATA("Minecraft Season Pass Price",$B$32)</f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CN136"/>
  <sheetViews>
    <sheetView showGridLines="0" tabSelected="1" zoomScale="80" zoomScaleNormal="80" workbookViewId="0">
      <selection activeCell="C4" sqref="C4"/>
    </sheetView>
  </sheetViews>
  <sheetFormatPr defaultRowHeight="14.4" x14ac:dyDescent="0.3"/>
  <cols>
    <col min="1" max="1" width="26.5546875" style="4" customWidth="1"/>
    <col min="2" max="2" width="1.88671875" customWidth="1"/>
    <col min="12" max="12" width="6.5546875" customWidth="1"/>
  </cols>
  <sheetData>
    <row r="1" spans="1:92" ht="16.8" customHeight="1" x14ac:dyDescent="0.3"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92" ht="24" customHeight="1" thickBot="1" x14ac:dyDescent="0.6">
      <c r="A2" s="17"/>
      <c r="B2" s="16"/>
      <c r="C2" s="23" t="s">
        <v>323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</row>
    <row r="3" spans="1:92" ht="19.8" customHeight="1" thickTop="1" x14ac:dyDescent="0.55000000000000004">
      <c r="A3" s="17"/>
      <c r="B3" s="16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</row>
    <row r="4" spans="1:92" s="7" customFormat="1" ht="13.5" customHeight="1" x14ac:dyDescent="0.3">
      <c r="A4" s="4"/>
      <c r="B4" s="22"/>
      <c r="C4" s="21" t="s">
        <v>324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92" ht="19.5" customHeigh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</row>
    <row r="6" spans="1:92" ht="23.2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</row>
    <row r="7" spans="1:92" ht="26.25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</row>
    <row r="8" spans="1:92" ht="23.25" customHeight="1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</row>
    <row r="9" spans="1:92" ht="33" customHeight="1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</row>
    <row r="10" spans="1:92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</row>
    <row r="11" spans="1:92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</row>
    <row r="12" spans="1:92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</row>
    <row r="13" spans="1:92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</row>
    <row r="14" spans="1:92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</row>
    <row r="15" spans="1:92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</row>
    <row r="16" spans="1:92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</row>
    <row r="17" spans="2:92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</row>
    <row r="18" spans="2:92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</row>
    <row r="19" spans="2:92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</row>
    <row r="20" spans="2:92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</row>
    <row r="21" spans="2:92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</row>
    <row r="22" spans="2:92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</row>
    <row r="23" spans="2:92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</row>
    <row r="24" spans="2:92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</row>
    <row r="25" spans="2:92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</row>
    <row r="26" spans="2:92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</row>
    <row r="27" spans="2:92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</row>
    <row r="28" spans="2:92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</row>
    <row r="29" spans="2:92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</row>
    <row r="30" spans="2:92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</row>
    <row r="31" spans="2:92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</row>
    <row r="32" spans="2:92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</row>
    <row r="33" spans="2:92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</row>
    <row r="34" spans="2:92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</row>
    <row r="35" spans="2:92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</row>
    <row r="36" spans="2:92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</row>
    <row r="37" spans="2:92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</row>
    <row r="38" spans="2:92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</row>
    <row r="39" spans="2:92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</row>
    <row r="40" spans="2:92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</row>
    <row r="41" spans="2:92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</row>
    <row r="42" spans="2:92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</row>
    <row r="43" spans="2:92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</row>
    <row r="44" spans="2:92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</row>
    <row r="45" spans="2:92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</row>
    <row r="46" spans="2:92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</row>
    <row r="47" spans="2:92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</row>
    <row r="48" spans="2:92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</row>
    <row r="49" spans="2:92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</row>
    <row r="50" spans="2:92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</row>
    <row r="51" spans="2:92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</row>
    <row r="52" spans="2:92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</row>
    <row r="53" spans="2:92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</row>
    <row r="54" spans="2:92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</row>
    <row r="55" spans="2:92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</row>
    <row r="56" spans="2:92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</row>
    <row r="57" spans="2:92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</row>
    <row r="58" spans="2:92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</row>
    <row r="59" spans="2:92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</row>
    <row r="60" spans="2:92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</row>
    <row r="61" spans="2:92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</row>
    <row r="62" spans="2:92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</row>
    <row r="63" spans="2:92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</row>
    <row r="64" spans="2:92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</row>
    <row r="65" spans="2:92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</row>
    <row r="66" spans="2:92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</row>
    <row r="67" spans="2:92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</row>
    <row r="68" spans="2:92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</row>
    <row r="69" spans="2:92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</row>
    <row r="70" spans="2:92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</row>
    <row r="71" spans="2:92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</row>
    <row r="72" spans="2:92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</row>
    <row r="73" spans="2:92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</row>
    <row r="74" spans="2:92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</row>
    <row r="75" spans="2:92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</row>
    <row r="76" spans="2:92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</row>
    <row r="77" spans="2:92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</row>
    <row r="78" spans="2:92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</row>
    <row r="79" spans="2:92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</row>
    <row r="80" spans="2:92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</row>
    <row r="81" spans="2:92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</row>
    <row r="82" spans="2:92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</row>
    <row r="83" spans="2:92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</row>
    <row r="84" spans="2:92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</row>
    <row r="85" spans="2:92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</row>
    <row r="86" spans="2:92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</row>
    <row r="87" spans="2:92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</row>
    <row r="88" spans="2:92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</row>
    <row r="89" spans="2:92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</row>
    <row r="90" spans="2:92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</row>
    <row r="91" spans="2:92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</row>
    <row r="92" spans="2:92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</row>
    <row r="93" spans="2:92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</row>
    <row r="94" spans="2:92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</row>
    <row r="95" spans="2:92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</row>
    <row r="96" spans="2:92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</row>
    <row r="97" spans="2:92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</row>
    <row r="98" spans="2:92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</row>
    <row r="99" spans="2:92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</row>
    <row r="100" spans="2:92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</row>
    <row r="101" spans="2:92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</row>
    <row r="102" spans="2:92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</row>
    <row r="103" spans="2:92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</row>
    <row r="104" spans="2:92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</row>
    <row r="105" spans="2:92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</row>
    <row r="106" spans="2:92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</row>
    <row r="107" spans="2:92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</row>
    <row r="108" spans="2:92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</row>
    <row r="109" spans="2:92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</row>
    <row r="110" spans="2:92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</row>
    <row r="111" spans="2:92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</row>
    <row r="112" spans="2:92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</row>
    <row r="113" spans="2:92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</row>
    <row r="114" spans="2:92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</row>
    <row r="115" spans="2:92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</row>
    <row r="116" spans="2:92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</row>
    <row r="117" spans="2:92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</row>
    <row r="118" spans="2:92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</row>
    <row r="119" spans="2:92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</row>
    <row r="120" spans="2:92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</row>
    <row r="121" spans="2:92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</row>
    <row r="122" spans="2:92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</row>
    <row r="123" spans="2:92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</row>
    <row r="124" spans="2:92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</row>
    <row r="125" spans="2:92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</row>
    <row r="126" spans="2:92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</row>
    <row r="127" spans="2:92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</row>
    <row r="128" spans="2:92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</row>
    <row r="129" spans="2:92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</row>
    <row r="130" spans="2:92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</row>
    <row r="131" spans="2:92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</row>
    <row r="132" spans="2:92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</row>
    <row r="133" spans="2:92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</row>
    <row r="134" spans="2:92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</row>
    <row r="135" spans="2:92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</row>
    <row r="136" spans="2:92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lucas.algarve.pereira@outlook.com</cp:lastModifiedBy>
  <cp:revision/>
  <dcterms:created xsi:type="dcterms:W3CDTF">2024-12-19T13:13:10Z</dcterms:created>
  <dcterms:modified xsi:type="dcterms:W3CDTF">2026-05-21T22:57:36Z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